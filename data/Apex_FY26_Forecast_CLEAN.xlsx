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orage from C Drive\Documents\Jobs 2026\Hobby Projects\Excel Workbook Auditor\data\"/>
    </mc:Choice>
  </mc:AlternateContent>
  <xr:revisionPtr revIDLastSave="0" documentId="8_{B838A2E0-05F6-44D9-B7AD-CB28D18E2B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ecutive Summary" sheetId="1" r:id="rId1"/>
    <sheet name="Sales Forecast" sheetId="2" r:id="rId2"/>
    <sheet name="Customer Orders" sheetId="3" r:id="rId3"/>
    <sheet name="Product Master" sheetId="4" r:id="rId4"/>
    <sheet name="Assumptions" sheetId="5" r:id="rId5"/>
    <sheet name="Calc_Help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B9" i="6"/>
  <c r="B8" i="6"/>
  <c r="B7" i="6"/>
  <c r="G8" i="3"/>
  <c r="G9" i="3"/>
  <c r="G10" i="3"/>
  <c r="G11" i="3"/>
  <c r="G12" i="3"/>
  <c r="G13" i="3"/>
  <c r="G14" i="3"/>
  <c r="G15" i="3"/>
  <c r="G16" i="3"/>
  <c r="G7" i="3"/>
  <c r="B11" i="1"/>
  <c r="B10" i="1"/>
  <c r="B9" i="1"/>
  <c r="B8" i="1"/>
  <c r="B7" i="1"/>
  <c r="G7" i="2"/>
  <c r="G8" i="2"/>
  <c r="G9" i="2"/>
  <c r="G10" i="2"/>
  <c r="G11" i="2"/>
  <c r="G12" i="2"/>
  <c r="G13" i="2"/>
  <c r="G14" i="2"/>
  <c r="G15" i="2"/>
  <c r="G16" i="2"/>
  <c r="G17" i="2"/>
  <c r="G6" i="2"/>
  <c r="E7" i="2"/>
  <c r="E8" i="2"/>
  <c r="E9" i="2"/>
  <c r="E10" i="2"/>
  <c r="E11" i="2"/>
  <c r="E12" i="2"/>
  <c r="E13" i="2"/>
  <c r="E14" i="2"/>
  <c r="E15" i="2"/>
  <c r="E16" i="2"/>
  <c r="E17" i="2"/>
  <c r="E6" i="2"/>
</calcChain>
</file>

<file path=xl/sharedStrings.xml><?xml version="1.0" encoding="utf-8"?>
<sst xmlns="http://schemas.openxmlformats.org/spreadsheetml/2006/main" count="163" uniqueCount="101">
  <si>
    <t>Apex Components Group</t>
  </si>
  <si>
    <t>FY26 Sales &amp; Operations Forecast</t>
  </si>
  <si>
    <t>Planning Assumptions</t>
  </si>
  <si>
    <t>Assumption</t>
  </si>
  <si>
    <t>Value</t>
  </si>
  <si>
    <t>Notes</t>
  </si>
  <si>
    <t>Standard Working Days</t>
  </si>
  <si>
    <t>Annual planning assumption</t>
  </si>
  <si>
    <t>Revenue Growth Target</t>
  </si>
  <si>
    <t>FY26 target</t>
  </si>
  <si>
    <t>Gross Margin Target</t>
  </si>
  <si>
    <t>Target gross margin</t>
  </si>
  <si>
    <t>Forecast Tolerance</t>
  </si>
  <si>
    <t>Variance requiring review</t>
  </si>
  <si>
    <t>Default Lead Time (Days)</t>
  </si>
  <si>
    <t>Standard customer order lead time</t>
  </si>
  <si>
    <t>Month</t>
  </si>
  <si>
    <t>Product</t>
  </si>
  <si>
    <t>Forecast Quantity</t>
  </si>
  <si>
    <t>Unit Price</t>
  </si>
  <si>
    <t>Forecast Revenue</t>
  </si>
  <si>
    <t>Unit Cost</t>
  </si>
  <si>
    <t>Forecast Margin</t>
  </si>
  <si>
    <t>AC-100</t>
  </si>
  <si>
    <t>Executive Summary</t>
  </si>
  <si>
    <t>KPI</t>
  </si>
  <si>
    <t>Total Forecast Revenue</t>
  </si>
  <si>
    <t>Total Forecast Quantity</t>
  </si>
  <si>
    <t>Total Forecast Margin</t>
  </si>
  <si>
    <t>Average Unit Price</t>
  </si>
  <si>
    <t>Product Master</t>
  </si>
  <si>
    <t>Active Product Catalogue</t>
  </si>
  <si>
    <t>Product Code</t>
  </si>
  <si>
    <t>Product Description</t>
  </si>
  <si>
    <t>Product Category</t>
  </si>
  <si>
    <t>Standard Unit Price</t>
  </si>
  <si>
    <t>Standard Unit Cost</t>
  </si>
  <si>
    <t>Lead Time Days</t>
  </si>
  <si>
    <t>Product Status</t>
  </si>
  <si>
    <t>Precision Housing</t>
  </si>
  <si>
    <t>Housings</t>
  </si>
  <si>
    <t>Active</t>
  </si>
  <si>
    <t>AC-110</t>
  </si>
  <si>
    <t>Mounting Bracket</t>
  </si>
  <si>
    <t>Brackets</t>
  </si>
  <si>
    <t>AC-120</t>
  </si>
  <si>
    <t>Drive Coupling</t>
  </si>
  <si>
    <t>Couplings</t>
  </si>
  <si>
    <t>AC-130</t>
  </si>
  <si>
    <t>Bearing Assembly</t>
  </si>
  <si>
    <t>Assemblies</t>
  </si>
  <si>
    <t>AC-140</t>
  </si>
  <si>
    <t>Seal Kit</t>
  </si>
  <si>
    <t>Service Kits</t>
  </si>
  <si>
    <t>AC-150</t>
  </si>
  <si>
    <t>Support Frame</t>
  </si>
  <si>
    <t>Frames</t>
  </si>
  <si>
    <t>AC-160</t>
  </si>
  <si>
    <t>Retaining Plate</t>
  </si>
  <si>
    <t>Plates</t>
  </si>
  <si>
    <t>AC-170</t>
  </si>
  <si>
    <t>Shaft Collar</t>
  </si>
  <si>
    <t>Components</t>
  </si>
  <si>
    <t>AC-180</t>
  </si>
  <si>
    <t>Housing Cover</t>
  </si>
  <si>
    <t>AC-190</t>
  </si>
  <si>
    <t>Link Assembly</t>
  </si>
  <si>
    <t>Legacy Spacer</t>
  </si>
  <si>
    <t>Legacy</t>
  </si>
  <si>
    <t>Legacy Clamp</t>
  </si>
  <si>
    <t>FY26 Customer Orders</t>
  </si>
  <si>
    <t>Customer Order Register</t>
  </si>
  <si>
    <t>Order ID</t>
  </si>
  <si>
    <t>Order Line</t>
  </si>
  <si>
    <t>Customer Name</t>
  </si>
  <si>
    <t>Quantity</t>
  </si>
  <si>
    <t>Order Value</t>
  </si>
  <si>
    <t>Order Date</t>
  </si>
  <si>
    <t>Required Date</t>
  </si>
  <si>
    <t>Order Status</t>
  </si>
  <si>
    <t>ORD0001</t>
  </si>
  <si>
    <t>Northstar Engineering</t>
  </si>
  <si>
    <t>Confirmed</t>
  </si>
  <si>
    <t>ORD0002</t>
  </si>
  <si>
    <t>Meridian Systems</t>
  </si>
  <si>
    <t>ORD0003</t>
  </si>
  <si>
    <t>Hartwell Manufacturing</t>
  </si>
  <si>
    <t>Shipped</t>
  </si>
  <si>
    <t>ORD0004</t>
  </si>
  <si>
    <t>ORD0005</t>
  </si>
  <si>
    <t>Beacon Industrial</t>
  </si>
  <si>
    <t>Pending</t>
  </si>
  <si>
    <t>ORD0006</t>
  </si>
  <si>
    <t>Vector Dynamics</t>
  </si>
  <si>
    <t>ORD0007</t>
  </si>
  <si>
    <t>ORD0008</t>
  </si>
  <si>
    <t>ORD0009</t>
  </si>
  <si>
    <t>Supporting Calculations</t>
  </si>
  <si>
    <t>Forecast Metrics</t>
  </si>
  <si>
    <t>Metric</t>
  </si>
  <si>
    <t>Average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</si>
</sst>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£&quot;#,##0.00"/>
    <numFmt numFmtId="172" formatCode="&quot;£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70" fontId="0" fillId="0" borderId="0" xfId="0" applyNumberFormat="1"/>
    <xf numFmtId="170" fontId="0" fillId="0" borderId="0" xfId="0" applyNumberFormat="1" applyAlignment="1">
      <alignment horizontal="right" vertical="center" wrapText="1"/>
    </xf>
    <xf numFmtId="170" fontId="0" fillId="0" borderId="1" xfId="0" applyNumberFormat="1" applyBorder="1"/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right" vertical="center" wrapText="1"/>
    </xf>
    <xf numFmtId="170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3" fontId="0" fillId="0" borderId="1" xfId="0" applyNumberFormat="1" applyBorder="1"/>
    <xf numFmtId="172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4" sqref="G24"/>
    </sheetView>
  </sheetViews>
  <sheetFormatPr defaultRowHeight="14.4" x14ac:dyDescent="0.3"/>
  <cols>
    <col min="1" max="1" width="29.88671875" bestFit="1" customWidth="1"/>
    <col min="2" max="2" width="11" bestFit="1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4" spans="1:2" x14ac:dyDescent="0.3">
      <c r="A4" t="s">
        <v>24</v>
      </c>
    </row>
    <row r="6" spans="1:2" x14ac:dyDescent="0.3">
      <c r="A6" s="2" t="s">
        <v>25</v>
      </c>
      <c r="B6" s="2" t="s">
        <v>4</v>
      </c>
    </row>
    <row r="7" spans="1:2" x14ac:dyDescent="0.3">
      <c r="A7" s="3" t="s">
        <v>26</v>
      </c>
      <c r="B7" s="14">
        <f>SUM('Sales Forecast'!E6:E17)</f>
        <v>503625</v>
      </c>
    </row>
    <row r="8" spans="1:2" x14ac:dyDescent="0.3">
      <c r="A8" s="3" t="s">
        <v>27</v>
      </c>
      <c r="B8" s="22">
        <f>SUM('Sales Forecast'!C6:C17)</f>
        <v>11850</v>
      </c>
    </row>
    <row r="9" spans="1:2" x14ac:dyDescent="0.3">
      <c r="A9" s="3" t="s">
        <v>28</v>
      </c>
      <c r="B9" s="14">
        <f>SUM('Sales Forecast'!G6:G17)</f>
        <v>171825</v>
      </c>
    </row>
    <row r="10" spans="1:2" x14ac:dyDescent="0.3">
      <c r="A10" s="3" t="s">
        <v>29</v>
      </c>
      <c r="B10" s="14">
        <f>AVERAGE('Sales Forecast'!D6:D17)</f>
        <v>42.5</v>
      </c>
    </row>
    <row r="11" spans="1:2" x14ac:dyDescent="0.3">
      <c r="A11" s="3" t="s">
        <v>8</v>
      </c>
      <c r="B11" s="5">
        <f>Assumptions!B8</f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C515-20D4-4F43-8DFB-CA8ECADE4C30}">
  <dimension ref="A5:S17"/>
  <sheetViews>
    <sheetView workbookViewId="0">
      <selection activeCell="C6" sqref="C6"/>
    </sheetView>
  </sheetViews>
  <sheetFormatPr defaultRowHeight="14.4" x14ac:dyDescent="0.3"/>
  <cols>
    <col min="3" max="3" width="16.21875" bestFit="1" customWidth="1"/>
    <col min="5" max="5" width="16.33203125" bestFit="1" customWidth="1"/>
    <col min="7" max="7" width="14.6640625" bestFit="1" customWidth="1"/>
  </cols>
  <sheetData>
    <row r="5" spans="1:19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N5" s="7"/>
      <c r="O5" s="8"/>
      <c r="P5" s="8"/>
      <c r="Q5" s="7"/>
      <c r="R5" s="7"/>
      <c r="S5" s="7"/>
    </row>
    <row r="6" spans="1:19" x14ac:dyDescent="0.3">
      <c r="A6" s="15">
        <v>46113</v>
      </c>
      <c r="B6" s="16" t="s">
        <v>23</v>
      </c>
      <c r="C6" s="17">
        <v>850</v>
      </c>
      <c r="D6" s="18">
        <v>42.5</v>
      </c>
      <c r="E6" s="14">
        <f>C6*D6</f>
        <v>36125</v>
      </c>
      <c r="F6" s="18">
        <v>28</v>
      </c>
      <c r="G6" s="14">
        <f>(D6-F6)*C6</f>
        <v>12325</v>
      </c>
      <c r="N6" s="6"/>
      <c r="O6" s="9"/>
      <c r="P6" s="10"/>
      <c r="Q6" s="6"/>
      <c r="R6" s="6"/>
      <c r="S6" s="6"/>
    </row>
    <row r="7" spans="1:19" x14ac:dyDescent="0.3">
      <c r="A7" s="15">
        <v>46143</v>
      </c>
      <c r="B7" s="16" t="s">
        <v>23</v>
      </c>
      <c r="C7" s="17">
        <v>875</v>
      </c>
      <c r="D7" s="18">
        <v>42.5</v>
      </c>
      <c r="E7" s="14">
        <f t="shared" ref="E7:E17" si="0">C7*D7</f>
        <v>37187.5</v>
      </c>
      <c r="F7" s="18">
        <v>28</v>
      </c>
      <c r="G7" s="14">
        <f t="shared" ref="G7:G17" si="1">(D7-F7)*C7</f>
        <v>12687.5</v>
      </c>
      <c r="N7" s="6"/>
      <c r="O7" s="9"/>
      <c r="P7" s="10"/>
      <c r="Q7" s="6"/>
      <c r="R7" s="6"/>
      <c r="S7" s="6"/>
    </row>
    <row r="8" spans="1:19" x14ac:dyDescent="0.3">
      <c r="A8" s="15">
        <v>46174</v>
      </c>
      <c r="B8" s="16" t="s">
        <v>23</v>
      </c>
      <c r="C8" s="17">
        <v>900</v>
      </c>
      <c r="D8" s="18">
        <v>42.5</v>
      </c>
      <c r="E8" s="14">
        <f t="shared" si="0"/>
        <v>38250</v>
      </c>
      <c r="F8" s="18">
        <v>28</v>
      </c>
      <c r="G8" s="14">
        <f t="shared" si="1"/>
        <v>13050</v>
      </c>
      <c r="N8" s="6"/>
      <c r="O8" s="9"/>
      <c r="P8" s="10"/>
      <c r="Q8" s="6"/>
      <c r="R8" s="6"/>
      <c r="S8" s="6"/>
    </row>
    <row r="9" spans="1:19" x14ac:dyDescent="0.3">
      <c r="A9" s="15">
        <v>46204</v>
      </c>
      <c r="B9" s="16" t="s">
        <v>23</v>
      </c>
      <c r="C9" s="17">
        <v>925</v>
      </c>
      <c r="D9" s="18">
        <v>42.5</v>
      </c>
      <c r="E9" s="14">
        <f t="shared" si="0"/>
        <v>39312.5</v>
      </c>
      <c r="F9" s="18">
        <v>28</v>
      </c>
      <c r="G9" s="14">
        <f t="shared" si="1"/>
        <v>13412.5</v>
      </c>
      <c r="N9" s="6"/>
      <c r="O9" s="9"/>
      <c r="P9" s="10"/>
      <c r="Q9" s="6"/>
      <c r="R9" s="6"/>
      <c r="S9" s="6"/>
    </row>
    <row r="10" spans="1:19" x14ac:dyDescent="0.3">
      <c r="A10" s="15">
        <v>46235</v>
      </c>
      <c r="B10" s="16" t="s">
        <v>23</v>
      </c>
      <c r="C10" s="17">
        <v>950</v>
      </c>
      <c r="D10" s="18">
        <v>42.5</v>
      </c>
      <c r="E10" s="14">
        <f t="shared" si="0"/>
        <v>40375</v>
      </c>
      <c r="F10" s="18">
        <v>28</v>
      </c>
      <c r="G10" s="14">
        <f t="shared" si="1"/>
        <v>13775</v>
      </c>
      <c r="N10" s="6"/>
      <c r="O10" s="9"/>
      <c r="P10" s="10"/>
      <c r="Q10" s="6"/>
      <c r="R10" s="6"/>
      <c r="S10" s="6"/>
    </row>
    <row r="11" spans="1:19" x14ac:dyDescent="0.3">
      <c r="A11" s="15">
        <v>46266</v>
      </c>
      <c r="B11" s="16" t="s">
        <v>23</v>
      </c>
      <c r="C11" s="17">
        <v>975</v>
      </c>
      <c r="D11" s="18">
        <v>42.5</v>
      </c>
      <c r="E11" s="14">
        <f t="shared" si="0"/>
        <v>41437.5</v>
      </c>
      <c r="F11" s="18">
        <v>28</v>
      </c>
      <c r="G11" s="14">
        <f t="shared" si="1"/>
        <v>14137.5</v>
      </c>
      <c r="N11" s="6"/>
      <c r="O11" s="9"/>
      <c r="P11" s="10"/>
      <c r="Q11" s="6"/>
      <c r="R11" s="6"/>
      <c r="S11" s="6"/>
    </row>
    <row r="12" spans="1:19" x14ac:dyDescent="0.3">
      <c r="A12" s="15">
        <v>46296</v>
      </c>
      <c r="B12" s="16" t="s">
        <v>23</v>
      </c>
      <c r="C12" s="17">
        <v>1000</v>
      </c>
      <c r="D12" s="18">
        <v>42.5</v>
      </c>
      <c r="E12" s="14">
        <f t="shared" si="0"/>
        <v>42500</v>
      </c>
      <c r="F12" s="18">
        <v>28</v>
      </c>
      <c r="G12" s="14">
        <f t="shared" si="1"/>
        <v>14500</v>
      </c>
      <c r="N12" s="6"/>
      <c r="O12" s="9"/>
      <c r="P12" s="10"/>
      <c r="Q12" s="6"/>
      <c r="R12" s="6"/>
      <c r="S12" s="6"/>
    </row>
    <row r="13" spans="1:19" x14ac:dyDescent="0.3">
      <c r="A13" s="15">
        <v>46327</v>
      </c>
      <c r="B13" s="16" t="s">
        <v>23</v>
      </c>
      <c r="C13" s="17">
        <v>1025</v>
      </c>
      <c r="D13" s="18">
        <v>42.5</v>
      </c>
      <c r="E13" s="14">
        <f t="shared" si="0"/>
        <v>43562.5</v>
      </c>
      <c r="F13" s="18">
        <v>28</v>
      </c>
      <c r="G13" s="14">
        <f t="shared" si="1"/>
        <v>14862.5</v>
      </c>
      <c r="N13" s="6"/>
      <c r="O13" s="9"/>
      <c r="P13" s="10"/>
      <c r="Q13" s="6"/>
      <c r="R13" s="6"/>
      <c r="S13" s="6"/>
    </row>
    <row r="14" spans="1:19" x14ac:dyDescent="0.3">
      <c r="A14" s="15">
        <v>46357</v>
      </c>
      <c r="B14" s="16" t="s">
        <v>23</v>
      </c>
      <c r="C14" s="17">
        <v>1050</v>
      </c>
      <c r="D14" s="18">
        <v>42.5</v>
      </c>
      <c r="E14" s="14">
        <f t="shared" si="0"/>
        <v>44625</v>
      </c>
      <c r="F14" s="18">
        <v>28</v>
      </c>
      <c r="G14" s="14">
        <f t="shared" si="1"/>
        <v>15225</v>
      </c>
      <c r="N14" s="6"/>
      <c r="O14" s="9"/>
      <c r="P14" s="10"/>
      <c r="Q14" s="6"/>
      <c r="R14" s="6"/>
      <c r="S14" s="6"/>
    </row>
    <row r="15" spans="1:19" x14ac:dyDescent="0.3">
      <c r="A15" s="15">
        <v>46388</v>
      </c>
      <c r="B15" s="16" t="s">
        <v>23</v>
      </c>
      <c r="C15" s="17">
        <v>1075</v>
      </c>
      <c r="D15" s="18">
        <v>42.5</v>
      </c>
      <c r="E15" s="14">
        <f t="shared" si="0"/>
        <v>45687.5</v>
      </c>
      <c r="F15" s="18">
        <v>28</v>
      </c>
      <c r="G15" s="14">
        <f t="shared" si="1"/>
        <v>15587.5</v>
      </c>
      <c r="N15" s="6"/>
      <c r="O15" s="9"/>
      <c r="P15" s="10"/>
      <c r="Q15" s="6"/>
      <c r="R15" s="6"/>
      <c r="S15" s="6"/>
    </row>
    <row r="16" spans="1:19" x14ac:dyDescent="0.3">
      <c r="A16" s="15">
        <v>46419</v>
      </c>
      <c r="B16" s="16" t="s">
        <v>23</v>
      </c>
      <c r="C16" s="17">
        <v>1100</v>
      </c>
      <c r="D16" s="18">
        <v>42.5</v>
      </c>
      <c r="E16" s="14">
        <f t="shared" si="0"/>
        <v>46750</v>
      </c>
      <c r="F16" s="18">
        <v>28</v>
      </c>
      <c r="G16" s="14">
        <f t="shared" si="1"/>
        <v>15950</v>
      </c>
      <c r="N16" s="6"/>
      <c r="O16" s="9"/>
      <c r="P16" s="10"/>
      <c r="Q16" s="6"/>
      <c r="R16" s="6"/>
      <c r="S16" s="6"/>
    </row>
    <row r="17" spans="1:19" x14ac:dyDescent="0.3">
      <c r="A17" s="15">
        <v>46447</v>
      </c>
      <c r="B17" s="16" t="s">
        <v>23</v>
      </c>
      <c r="C17" s="17">
        <v>1125</v>
      </c>
      <c r="D17" s="18">
        <v>42.5</v>
      </c>
      <c r="E17" s="14">
        <f t="shared" si="0"/>
        <v>47812.5</v>
      </c>
      <c r="F17" s="18">
        <v>28</v>
      </c>
      <c r="G17" s="14">
        <f t="shared" si="1"/>
        <v>16312.5</v>
      </c>
      <c r="N17" s="6"/>
      <c r="O17" s="9"/>
      <c r="P17" s="10"/>
      <c r="Q17" s="6"/>
      <c r="R17" s="6"/>
      <c r="S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6457-8D67-41C3-ACE3-0819EFC1DBF5}">
  <dimension ref="A1:T16"/>
  <sheetViews>
    <sheetView workbookViewId="0">
      <selection activeCell="F32" sqref="F32"/>
    </sheetView>
  </sheetViews>
  <sheetFormatPr defaultRowHeight="14.4" x14ac:dyDescent="0.3"/>
  <cols>
    <col min="1" max="1" width="22.88671875" bestFit="1" customWidth="1"/>
    <col min="2" max="10" width="20.109375" customWidth="1"/>
  </cols>
  <sheetData>
    <row r="1" spans="1:20" x14ac:dyDescent="0.3">
      <c r="A1" t="s">
        <v>0</v>
      </c>
    </row>
    <row r="2" spans="1:20" x14ac:dyDescent="0.3">
      <c r="A2" t="s">
        <v>70</v>
      </c>
    </row>
    <row r="4" spans="1:20" x14ac:dyDescent="0.3">
      <c r="A4" t="s">
        <v>71</v>
      </c>
    </row>
    <row r="6" spans="1:20" x14ac:dyDescent="0.3">
      <c r="A6" s="1" t="s">
        <v>72</v>
      </c>
      <c r="B6" s="1" t="s">
        <v>73</v>
      </c>
      <c r="C6" s="1" t="s">
        <v>74</v>
      </c>
      <c r="D6" s="1" t="s">
        <v>32</v>
      </c>
      <c r="E6" s="1" t="s">
        <v>75</v>
      </c>
      <c r="F6" s="1" t="s">
        <v>19</v>
      </c>
      <c r="G6" s="1" t="s">
        <v>76</v>
      </c>
      <c r="H6" s="1" t="s">
        <v>77</v>
      </c>
      <c r="I6" s="1" t="s">
        <v>78</v>
      </c>
      <c r="J6" s="1" t="s">
        <v>79</v>
      </c>
      <c r="L6" s="10"/>
      <c r="M6" s="6"/>
      <c r="N6" s="10"/>
      <c r="O6" s="10"/>
      <c r="P6" s="6"/>
      <c r="Q6" s="6"/>
      <c r="R6" s="21"/>
      <c r="S6" s="21"/>
      <c r="T6" s="10"/>
    </row>
    <row r="7" spans="1:20" x14ac:dyDescent="0.3">
      <c r="A7" s="10" t="s">
        <v>80</v>
      </c>
      <c r="B7" s="11">
        <v>1</v>
      </c>
      <c r="C7" s="10" t="s">
        <v>81</v>
      </c>
      <c r="D7" s="10" t="s">
        <v>23</v>
      </c>
      <c r="E7" s="11">
        <v>125</v>
      </c>
      <c r="F7" s="13">
        <v>42.5</v>
      </c>
      <c r="G7" s="12">
        <f>E7*F7</f>
        <v>5312.5</v>
      </c>
      <c r="H7" s="21">
        <v>46113</v>
      </c>
      <c r="I7" s="21">
        <v>46134</v>
      </c>
      <c r="J7" s="10" t="s">
        <v>82</v>
      </c>
      <c r="L7" s="10"/>
      <c r="M7" s="6"/>
      <c r="N7" s="10"/>
      <c r="O7" s="10"/>
      <c r="P7" s="6"/>
      <c r="Q7" s="6"/>
      <c r="R7" s="21"/>
      <c r="S7" s="21"/>
      <c r="T7" s="10"/>
    </row>
    <row r="8" spans="1:20" x14ac:dyDescent="0.3">
      <c r="A8" s="10" t="s">
        <v>83</v>
      </c>
      <c r="B8" s="11">
        <v>1</v>
      </c>
      <c r="C8" s="10" t="s">
        <v>84</v>
      </c>
      <c r="D8" s="10" t="s">
        <v>45</v>
      </c>
      <c r="E8" s="11">
        <v>75</v>
      </c>
      <c r="F8" s="13">
        <v>67</v>
      </c>
      <c r="G8" s="12">
        <f t="shared" ref="G8:G16" si="0">E8*F8</f>
        <v>5025</v>
      </c>
      <c r="H8" s="21">
        <v>46115</v>
      </c>
      <c r="I8" s="21">
        <v>46143</v>
      </c>
      <c r="J8" s="10" t="s">
        <v>82</v>
      </c>
      <c r="L8" s="10"/>
      <c r="M8" s="6"/>
      <c r="N8" s="10"/>
      <c r="O8" s="10"/>
      <c r="P8" s="6"/>
      <c r="Q8" s="6"/>
      <c r="R8" s="21"/>
      <c r="S8" s="21"/>
      <c r="T8" s="10"/>
    </row>
    <row r="9" spans="1:20" ht="28.8" x14ac:dyDescent="0.3">
      <c r="A9" s="10" t="s">
        <v>85</v>
      </c>
      <c r="B9" s="11">
        <v>1</v>
      </c>
      <c r="C9" s="10" t="s">
        <v>86</v>
      </c>
      <c r="D9" s="10" t="s">
        <v>42</v>
      </c>
      <c r="E9" s="11">
        <v>240</v>
      </c>
      <c r="F9" s="13">
        <v>18.75</v>
      </c>
      <c r="G9" s="12">
        <f t="shared" si="0"/>
        <v>4500</v>
      </c>
      <c r="H9" s="21">
        <v>46118</v>
      </c>
      <c r="I9" s="21">
        <v>46132</v>
      </c>
      <c r="J9" s="10" t="s">
        <v>87</v>
      </c>
      <c r="L9" s="10"/>
      <c r="M9" s="6"/>
      <c r="N9" s="10"/>
      <c r="O9" s="10"/>
      <c r="P9" s="6"/>
      <c r="Q9" s="6"/>
      <c r="R9" s="21"/>
      <c r="S9" s="21"/>
      <c r="T9" s="10"/>
    </row>
    <row r="10" spans="1:20" x14ac:dyDescent="0.3">
      <c r="A10" s="10" t="s">
        <v>88</v>
      </c>
      <c r="B10" s="11">
        <v>1</v>
      </c>
      <c r="C10" s="10" t="s">
        <v>81</v>
      </c>
      <c r="D10" s="10" t="s">
        <v>51</v>
      </c>
      <c r="E10" s="11">
        <v>90</v>
      </c>
      <c r="F10" s="13">
        <v>24.25</v>
      </c>
      <c r="G10" s="12">
        <f t="shared" si="0"/>
        <v>2182.5</v>
      </c>
      <c r="H10" s="21">
        <v>46120</v>
      </c>
      <c r="I10" s="21">
        <v>46134</v>
      </c>
      <c r="J10" s="10" t="s">
        <v>82</v>
      </c>
      <c r="L10" s="10"/>
      <c r="M10" s="6"/>
      <c r="N10" s="10"/>
      <c r="O10" s="10"/>
      <c r="P10" s="6"/>
      <c r="Q10" s="6"/>
      <c r="R10" s="21"/>
      <c r="S10" s="21"/>
      <c r="T10" s="10"/>
    </row>
    <row r="11" spans="1:20" x14ac:dyDescent="0.3">
      <c r="A11" s="10" t="s">
        <v>88</v>
      </c>
      <c r="B11" s="11">
        <v>2</v>
      </c>
      <c r="C11" s="10" t="s">
        <v>81</v>
      </c>
      <c r="D11" s="10" t="s">
        <v>60</v>
      </c>
      <c r="E11" s="11">
        <v>150</v>
      </c>
      <c r="F11" s="13">
        <v>15.75</v>
      </c>
      <c r="G11" s="12">
        <f t="shared" si="0"/>
        <v>2362.5</v>
      </c>
      <c r="H11" s="21">
        <v>46120</v>
      </c>
      <c r="I11" s="21">
        <v>46134</v>
      </c>
      <c r="J11" s="10" t="s">
        <v>82</v>
      </c>
      <c r="L11" s="10"/>
      <c r="M11" s="6"/>
      <c r="N11" s="10"/>
      <c r="O11" s="10"/>
      <c r="P11" s="6"/>
      <c r="Q11" s="6"/>
      <c r="R11" s="21"/>
      <c r="S11" s="21"/>
      <c r="T11" s="10"/>
    </row>
    <row r="12" spans="1:20" x14ac:dyDescent="0.3">
      <c r="A12" s="10" t="s">
        <v>89</v>
      </c>
      <c r="B12" s="11">
        <v>1</v>
      </c>
      <c r="C12" s="10" t="s">
        <v>90</v>
      </c>
      <c r="D12" s="10" t="s">
        <v>48</v>
      </c>
      <c r="E12" s="11">
        <v>60</v>
      </c>
      <c r="F12" s="13">
        <v>85.5</v>
      </c>
      <c r="G12" s="12">
        <f t="shared" si="0"/>
        <v>5130</v>
      </c>
      <c r="H12" s="21">
        <v>46122</v>
      </c>
      <c r="I12" s="21">
        <v>46157</v>
      </c>
      <c r="J12" s="10" t="s">
        <v>91</v>
      </c>
      <c r="L12" s="10"/>
      <c r="M12" s="6"/>
      <c r="N12" s="10"/>
      <c r="O12" s="10"/>
      <c r="P12" s="6"/>
      <c r="Q12" s="6"/>
      <c r="R12" s="21"/>
      <c r="S12" s="21"/>
      <c r="T12" s="10"/>
    </row>
    <row r="13" spans="1:20" x14ac:dyDescent="0.3">
      <c r="A13" s="10" t="s">
        <v>92</v>
      </c>
      <c r="B13" s="11">
        <v>1</v>
      </c>
      <c r="C13" s="10" t="s">
        <v>93</v>
      </c>
      <c r="D13" s="10" t="s">
        <v>54</v>
      </c>
      <c r="E13" s="11">
        <v>35</v>
      </c>
      <c r="F13" s="13">
        <v>112</v>
      </c>
      <c r="G13" s="12">
        <f t="shared" si="0"/>
        <v>3920</v>
      </c>
      <c r="H13" s="21">
        <v>46125</v>
      </c>
      <c r="I13" s="21">
        <v>46167</v>
      </c>
      <c r="J13" s="10" t="s">
        <v>82</v>
      </c>
      <c r="L13" s="10"/>
      <c r="M13" s="6"/>
      <c r="N13" s="10"/>
      <c r="O13" s="10"/>
      <c r="P13" s="6"/>
      <c r="Q13" s="6"/>
      <c r="R13" s="21"/>
      <c r="S13" s="21"/>
      <c r="T13" s="10"/>
    </row>
    <row r="14" spans="1:20" x14ac:dyDescent="0.3">
      <c r="A14" s="10" t="s">
        <v>94</v>
      </c>
      <c r="B14" s="11">
        <v>1</v>
      </c>
      <c r="C14" s="10" t="s">
        <v>84</v>
      </c>
      <c r="D14" s="10" t="s">
        <v>57</v>
      </c>
      <c r="E14" s="11">
        <v>180</v>
      </c>
      <c r="F14" s="13">
        <v>31.5</v>
      </c>
      <c r="G14" s="12">
        <f t="shared" si="0"/>
        <v>5670</v>
      </c>
      <c r="H14" s="21">
        <v>46127</v>
      </c>
      <c r="I14" s="21">
        <v>46148</v>
      </c>
      <c r="J14" s="10" t="s">
        <v>87</v>
      </c>
      <c r="L14" s="10"/>
      <c r="M14" s="6"/>
      <c r="N14" s="10"/>
      <c r="O14" s="10"/>
      <c r="P14" s="6"/>
      <c r="Q14" s="6"/>
      <c r="R14" s="21"/>
      <c r="S14" s="21"/>
      <c r="T14" s="10"/>
    </row>
    <row r="15" spans="1:20" ht="28.8" x14ac:dyDescent="0.3">
      <c r="A15" s="10" t="s">
        <v>95</v>
      </c>
      <c r="B15" s="11">
        <v>1</v>
      </c>
      <c r="C15" s="10" t="s">
        <v>86</v>
      </c>
      <c r="D15" s="10" t="s">
        <v>63</v>
      </c>
      <c r="E15" s="11">
        <v>110</v>
      </c>
      <c r="F15" s="13">
        <v>38</v>
      </c>
      <c r="G15" s="12">
        <f t="shared" si="0"/>
        <v>4180</v>
      </c>
      <c r="H15" s="21">
        <v>46129</v>
      </c>
      <c r="I15" s="21">
        <v>46150</v>
      </c>
      <c r="J15" s="10" t="s">
        <v>82</v>
      </c>
      <c r="L15" s="10"/>
      <c r="M15" s="6"/>
      <c r="N15" s="10"/>
      <c r="O15" s="10"/>
      <c r="P15" s="6"/>
      <c r="Q15" s="6"/>
      <c r="R15" s="21"/>
      <c r="S15" s="21"/>
      <c r="T15" s="10"/>
    </row>
    <row r="16" spans="1:20" x14ac:dyDescent="0.3">
      <c r="A16" s="10" t="s">
        <v>96</v>
      </c>
      <c r="B16" s="11">
        <v>1</v>
      </c>
      <c r="C16" s="10" t="s">
        <v>90</v>
      </c>
      <c r="D16" s="10" t="s">
        <v>65</v>
      </c>
      <c r="E16" s="11">
        <v>50</v>
      </c>
      <c r="F16" s="13">
        <v>94.5</v>
      </c>
      <c r="G16" s="12">
        <f t="shared" si="0"/>
        <v>4725</v>
      </c>
      <c r="H16" s="21">
        <v>46132</v>
      </c>
      <c r="I16" s="21">
        <v>46167</v>
      </c>
      <c r="J16" s="10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EFD2-17B4-4BB2-A1D0-ADA6AD0A1488}">
  <dimension ref="A1:G18"/>
  <sheetViews>
    <sheetView workbookViewId="0">
      <selection activeCell="A14" sqref="A14"/>
    </sheetView>
  </sheetViews>
  <sheetFormatPr defaultRowHeight="14.4" x14ac:dyDescent="0.3"/>
  <cols>
    <col min="1" max="1" width="22.88671875" bestFit="1" customWidth="1"/>
    <col min="2" max="2" width="18.21875" bestFit="1" customWidth="1"/>
    <col min="3" max="3" width="15.77734375" bestFit="1" customWidth="1"/>
    <col min="4" max="4" width="17.6640625" bestFit="1" customWidth="1"/>
    <col min="5" max="5" width="17.109375" bestFit="1" customWidth="1"/>
    <col min="6" max="6" width="14.33203125" bestFit="1" customWidth="1"/>
    <col min="7" max="7" width="13.44140625" bestFit="1" customWidth="1"/>
  </cols>
  <sheetData>
    <row r="1" spans="1:7" x14ac:dyDescent="0.3">
      <c r="A1" t="s">
        <v>0</v>
      </c>
    </row>
    <row r="2" spans="1:7" x14ac:dyDescent="0.3">
      <c r="A2" t="s">
        <v>30</v>
      </c>
    </row>
    <row r="4" spans="1:7" x14ac:dyDescent="0.3">
      <c r="A4" t="s">
        <v>31</v>
      </c>
    </row>
    <row r="6" spans="1:7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x14ac:dyDescent="0.3">
      <c r="A7" s="19" t="s">
        <v>23</v>
      </c>
      <c r="B7" s="16" t="s">
        <v>39</v>
      </c>
      <c r="C7" s="16" t="s">
        <v>40</v>
      </c>
      <c r="D7" s="18">
        <v>42.5</v>
      </c>
      <c r="E7" s="18">
        <v>28</v>
      </c>
      <c r="F7" s="17">
        <v>21</v>
      </c>
      <c r="G7" s="16" t="s">
        <v>41</v>
      </c>
    </row>
    <row r="8" spans="1:7" x14ac:dyDescent="0.3">
      <c r="A8" s="19" t="s">
        <v>42</v>
      </c>
      <c r="B8" s="16" t="s">
        <v>43</v>
      </c>
      <c r="C8" s="16" t="s">
        <v>44</v>
      </c>
      <c r="D8" s="18">
        <v>18.75</v>
      </c>
      <c r="E8" s="18">
        <v>11.5</v>
      </c>
      <c r="F8" s="17">
        <v>14</v>
      </c>
      <c r="G8" s="16" t="s">
        <v>41</v>
      </c>
    </row>
    <row r="9" spans="1:7" x14ac:dyDescent="0.3">
      <c r="A9" s="19" t="s">
        <v>45</v>
      </c>
      <c r="B9" s="16" t="s">
        <v>46</v>
      </c>
      <c r="C9" s="16" t="s">
        <v>47</v>
      </c>
      <c r="D9" s="18">
        <v>67</v>
      </c>
      <c r="E9" s="18">
        <v>44.5</v>
      </c>
      <c r="F9" s="17">
        <v>28</v>
      </c>
      <c r="G9" s="16" t="s">
        <v>41</v>
      </c>
    </row>
    <row r="10" spans="1:7" x14ac:dyDescent="0.3">
      <c r="A10" s="19" t="s">
        <v>48</v>
      </c>
      <c r="B10" s="16" t="s">
        <v>49</v>
      </c>
      <c r="C10" s="16" t="s">
        <v>50</v>
      </c>
      <c r="D10" s="18">
        <v>85.5</v>
      </c>
      <c r="E10" s="18">
        <v>57</v>
      </c>
      <c r="F10" s="17">
        <v>35</v>
      </c>
      <c r="G10" s="16" t="s">
        <v>41</v>
      </c>
    </row>
    <row r="11" spans="1:7" x14ac:dyDescent="0.3">
      <c r="A11" s="19" t="s">
        <v>51</v>
      </c>
      <c r="B11" s="16" t="s">
        <v>52</v>
      </c>
      <c r="C11" s="16" t="s">
        <v>53</v>
      </c>
      <c r="D11" s="18">
        <v>24.25</v>
      </c>
      <c r="E11" s="18">
        <v>14.75</v>
      </c>
      <c r="F11" s="17">
        <v>14</v>
      </c>
      <c r="G11" s="16" t="s">
        <v>41</v>
      </c>
    </row>
    <row r="12" spans="1:7" x14ac:dyDescent="0.3">
      <c r="A12" s="19" t="s">
        <v>54</v>
      </c>
      <c r="B12" s="16" t="s">
        <v>55</v>
      </c>
      <c r="C12" s="16" t="s">
        <v>56</v>
      </c>
      <c r="D12" s="18">
        <v>112</v>
      </c>
      <c r="E12" s="18">
        <v>76</v>
      </c>
      <c r="F12" s="17">
        <v>42</v>
      </c>
      <c r="G12" s="16" t="s">
        <v>41</v>
      </c>
    </row>
    <row r="13" spans="1:7" x14ac:dyDescent="0.3">
      <c r="A13" s="19" t="s">
        <v>57</v>
      </c>
      <c r="B13" s="16" t="s">
        <v>58</v>
      </c>
      <c r="C13" s="16" t="s">
        <v>59</v>
      </c>
      <c r="D13" s="18">
        <v>31.5</v>
      </c>
      <c r="E13" s="18">
        <v>19.25</v>
      </c>
      <c r="F13" s="17">
        <v>21</v>
      </c>
      <c r="G13" s="16" t="s">
        <v>41</v>
      </c>
    </row>
    <row r="14" spans="1:7" x14ac:dyDescent="0.3">
      <c r="A14" s="19" t="s">
        <v>60</v>
      </c>
      <c r="B14" s="16" t="s">
        <v>61</v>
      </c>
      <c r="C14" s="16" t="s">
        <v>62</v>
      </c>
      <c r="D14" s="18">
        <v>15.75</v>
      </c>
      <c r="E14" s="18">
        <v>9.5</v>
      </c>
      <c r="F14" s="17">
        <v>14</v>
      </c>
      <c r="G14" s="16" t="s">
        <v>41</v>
      </c>
    </row>
    <row r="15" spans="1:7" x14ac:dyDescent="0.3">
      <c r="A15" s="19" t="s">
        <v>63</v>
      </c>
      <c r="B15" s="16" t="s">
        <v>64</v>
      </c>
      <c r="C15" s="16" t="s">
        <v>40</v>
      </c>
      <c r="D15" s="18">
        <v>38</v>
      </c>
      <c r="E15" s="18">
        <v>24</v>
      </c>
      <c r="F15" s="17">
        <v>21</v>
      </c>
      <c r="G15" s="16" t="s">
        <v>41</v>
      </c>
    </row>
    <row r="16" spans="1:7" x14ac:dyDescent="0.3">
      <c r="A16" s="19" t="s">
        <v>65</v>
      </c>
      <c r="B16" s="16" t="s">
        <v>66</v>
      </c>
      <c r="C16" s="16" t="s">
        <v>50</v>
      </c>
      <c r="D16" s="18">
        <v>94.5</v>
      </c>
      <c r="E16" s="18">
        <v>63.5</v>
      </c>
      <c r="F16" s="17">
        <v>35</v>
      </c>
      <c r="G16" s="16" t="s">
        <v>41</v>
      </c>
    </row>
    <row r="17" spans="1:7" x14ac:dyDescent="0.3">
      <c r="A17" s="20">
        <v>20010</v>
      </c>
      <c r="B17" s="16" t="s">
        <v>67</v>
      </c>
      <c r="C17" s="16" t="s">
        <v>62</v>
      </c>
      <c r="D17" s="18">
        <v>12</v>
      </c>
      <c r="E17" s="18">
        <v>7.25</v>
      </c>
      <c r="F17" s="17">
        <v>14</v>
      </c>
      <c r="G17" s="16" t="s">
        <v>68</v>
      </c>
    </row>
    <row r="18" spans="1:7" x14ac:dyDescent="0.3">
      <c r="A18" s="20">
        <v>30025</v>
      </c>
      <c r="B18" s="16" t="s">
        <v>69</v>
      </c>
      <c r="C18" s="16" t="s">
        <v>44</v>
      </c>
      <c r="D18" s="18">
        <v>16.5</v>
      </c>
      <c r="E18" s="18">
        <v>10</v>
      </c>
      <c r="F18" s="17">
        <v>14</v>
      </c>
      <c r="G18" s="1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E844-7150-4344-A290-716244DE1619}">
  <dimension ref="A1:C11"/>
  <sheetViews>
    <sheetView workbookViewId="0">
      <selection activeCell="E11" sqref="E11"/>
    </sheetView>
  </sheetViews>
  <sheetFormatPr defaultRowHeight="14.4" x14ac:dyDescent="0.3"/>
  <cols>
    <col min="1" max="1" width="29.88671875" bestFit="1" customWidth="1"/>
    <col min="3" max="3" width="3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4" spans="1:3" x14ac:dyDescent="0.3">
      <c r="A4" t="s">
        <v>2</v>
      </c>
    </row>
    <row r="6" spans="1:3" x14ac:dyDescent="0.3">
      <c r="A6" s="2" t="s">
        <v>3</v>
      </c>
      <c r="B6" s="2" t="s">
        <v>4</v>
      </c>
      <c r="C6" s="2" t="s">
        <v>5</v>
      </c>
    </row>
    <row r="7" spans="1:3" x14ac:dyDescent="0.3">
      <c r="A7" s="3" t="s">
        <v>6</v>
      </c>
      <c r="B7" s="4">
        <v>250</v>
      </c>
      <c r="C7" s="3" t="s">
        <v>7</v>
      </c>
    </row>
    <row r="8" spans="1:3" x14ac:dyDescent="0.3">
      <c r="A8" s="3" t="s">
        <v>8</v>
      </c>
      <c r="B8" s="5">
        <v>0.08</v>
      </c>
      <c r="C8" s="3" t="s">
        <v>9</v>
      </c>
    </row>
    <row r="9" spans="1:3" x14ac:dyDescent="0.3">
      <c r="A9" s="3" t="s">
        <v>10</v>
      </c>
      <c r="B9" s="5">
        <v>0.32</v>
      </c>
      <c r="C9" s="3" t="s">
        <v>11</v>
      </c>
    </row>
    <row r="10" spans="1:3" x14ac:dyDescent="0.3">
      <c r="A10" s="3" t="s">
        <v>12</v>
      </c>
      <c r="B10" s="5">
        <v>0.05</v>
      </c>
      <c r="C10" s="3" t="s">
        <v>13</v>
      </c>
    </row>
    <row r="11" spans="1:3" x14ac:dyDescent="0.3">
      <c r="A11" s="3" t="s">
        <v>14</v>
      </c>
      <c r="B11" s="4">
        <v>21</v>
      </c>
      <c r="C11" s="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3FF4-0861-43AD-9187-5351F29F51BE}">
  <dimension ref="A1:B10"/>
  <sheetViews>
    <sheetView workbookViewId="0">
      <selection activeCell="D13" sqref="D13"/>
    </sheetView>
  </sheetViews>
  <sheetFormatPr defaultRowHeight="14.4" x14ac:dyDescent="0.3"/>
  <cols>
    <col min="1" max="1" width="22.88671875" bestFit="1" customWidth="1"/>
  </cols>
  <sheetData>
    <row r="1" spans="1:2" x14ac:dyDescent="0.3">
      <c r="A1" t="s">
        <v>0</v>
      </c>
    </row>
    <row r="2" spans="1:2" x14ac:dyDescent="0.3">
      <c r="A2" t="s">
        <v>97</v>
      </c>
    </row>
    <row r="4" spans="1:2" x14ac:dyDescent="0.3">
      <c r="A4" t="s">
        <v>98</v>
      </c>
    </row>
    <row r="6" spans="1:2" x14ac:dyDescent="0.3">
      <c r="A6" s="2" t="s">
        <v>99</v>
      </c>
      <c r="B6" s="2" t="s">
        <v>4</v>
      </c>
    </row>
    <row r="7" spans="1:2" x14ac:dyDescent="0.3">
      <c r="A7" s="3" t="s">
        <v>20</v>
      </c>
      <c r="B7" s="23">
        <f>SUM('Sales Forecast'!E6:E17)</f>
        <v>503625</v>
      </c>
    </row>
    <row r="8" spans="1:2" x14ac:dyDescent="0.3">
      <c r="A8" s="3" t="s">
        <v>18</v>
      </c>
      <c r="B8" s="22">
        <f>SUM('Sales Forecast'!C6:C17)</f>
        <v>11850</v>
      </c>
    </row>
    <row r="9" spans="1:2" x14ac:dyDescent="0.3">
      <c r="A9" s="3" t="s">
        <v>22</v>
      </c>
      <c r="B9" s="23">
        <f>SUM('Sales Forecast'!G6:G17)</f>
        <v>171825</v>
      </c>
    </row>
    <row r="10" spans="1:2" x14ac:dyDescent="0.3">
      <c r="A10" s="3" t="s">
        <v>100</v>
      </c>
      <c r="B10" s="24">
        <f>B9/B7</f>
        <v>0.3411764705882353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Sales Forecast</vt:lpstr>
      <vt:lpstr>Customer Orders</vt:lpstr>
      <vt:lpstr>Product Master</vt:lpstr>
      <vt:lpstr>Assumptions</vt:lpstr>
      <vt:lpstr>Calc_Helper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Deji Olamide</cp:lastModifiedBy>
  <dcterms:created xsi:type="dcterms:W3CDTF">2015-06-05T18:17:20Z</dcterms:created>
  <dcterms:modified xsi:type="dcterms:W3CDTF">2026-09-25T10:49:41Z</dcterms:modified>
</cp:coreProperties>
</file>